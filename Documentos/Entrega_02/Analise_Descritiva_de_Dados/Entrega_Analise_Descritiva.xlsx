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13_ncr:1_{7DF0ACA3-51F8-438D-90C6-A9AE6AA526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rders" sheetId="1" r:id="rId1"/>
  </sheets>
  <definedNames>
    <definedName name="_xlchart.v1.0" hidden="1">orders!$E$2:$E$205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23" i="1"/>
  <c r="H19" i="1"/>
  <c r="H17" i="1"/>
  <c r="H25" i="1" l="1"/>
</calcChain>
</file>

<file path=xl/sharedStrings.xml><?xml version="1.0" encoding="utf-8"?>
<sst xmlns="http://schemas.openxmlformats.org/spreadsheetml/2006/main" count="214" uniqueCount="14">
  <si>
    <t>order_id</t>
  </si>
  <si>
    <t>timestamp</t>
  </si>
  <si>
    <t>student_id</t>
  </si>
  <si>
    <t>class</t>
  </si>
  <si>
    <t>total_value_R$</t>
  </si>
  <si>
    <t>CCOMP_VESPERTINO</t>
  </si>
  <si>
    <t>CCOMP_MATUTINO</t>
  </si>
  <si>
    <t>ADS2</t>
  </si>
  <si>
    <t>ADS4</t>
  </si>
  <si>
    <t>Media =</t>
  </si>
  <si>
    <t>Média Geometrica =</t>
  </si>
  <si>
    <t>95 Percentil =</t>
  </si>
  <si>
    <t>Desvio padrão amostral =</t>
  </si>
  <si>
    <t>CV=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</si>
</sst>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Histograma - Valores totais dos pedidos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pt-BR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Histograma - Valores totais dos pedidos</a:t>
          </a:r>
        </a:p>
      </cx:txPr>
    </cx:title>
    <cx:plotArea>
      <cx:plotAreaRegion>
        <cx:series layoutId="clusteredColumn" uniqueId="{A92B691B-B12D-4464-BDAA-37E108BA4250}">
          <cx:dataId val="0"/>
          <cx:layoutPr>
            <cx:binning intervalClosed="r">
              <cx:binSize val="7"/>
            </cx:binning>
          </cx:layoutPr>
        </cx:series>
      </cx:plotAreaRegion>
      <cx:axis id="0">
        <cx:catScaling gapWidth="0"/>
        <cx:title>
          <cx:tx>
            <cx:txData>
              <cx:v>X (Total_Value_R$)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X (Total_Value_R$)</a:t>
              </a:r>
            </a:p>
          </cx:txPr>
        </cx:title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Y (Frequencia)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Y (Frequencia)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4762</xdr:rowOff>
    </xdr:from>
    <xdr:to>
      <xdr:col>11</xdr:col>
      <xdr:colOff>285750</xdr:colOff>
      <xdr:row>15</xdr:row>
      <xdr:rowOff>80962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9014C241-9F0A-4B22-B6CA-8911C242A0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72125" y="195262"/>
              <a:ext cx="597217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5"/>
  <sheetViews>
    <sheetView tabSelected="1" topLeftCell="B1" workbookViewId="0">
      <selection activeCell="H17" sqref="H17"/>
    </sheetView>
  </sheetViews>
  <sheetFormatPr defaultRowHeight="15" x14ac:dyDescent="0.25"/>
  <cols>
    <col min="1" max="1" width="8.5703125" bestFit="1" customWidth="1"/>
    <col min="2" max="2" width="18.28515625" bestFit="1" customWidth="1"/>
    <col min="3" max="3" width="10.5703125" bestFit="1" customWidth="1"/>
    <col min="4" max="4" width="19.85546875" bestFit="1" customWidth="1"/>
    <col min="5" max="5" width="14.28515625" bestFit="1" customWidth="1"/>
    <col min="6" max="6" width="12" bestFit="1" customWidth="1"/>
    <col min="7" max="7" width="29.5703125" bestFit="1" customWidth="1"/>
    <col min="8" max="8" width="15.5703125" bestFit="1" customWidth="1"/>
    <col min="9" max="9" width="19" bestFit="1" customWidth="1"/>
    <col min="10" max="10" width="12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89</v>
      </c>
      <c r="B2" s="2">
        <v>45889.899497487429</v>
      </c>
      <c r="C2">
        <v>1199</v>
      </c>
      <c r="D2" t="s">
        <v>5</v>
      </c>
      <c r="E2">
        <v>3</v>
      </c>
    </row>
    <row r="3" spans="1:5" x14ac:dyDescent="0.25">
      <c r="A3">
        <v>107</v>
      </c>
      <c r="B3" s="2">
        <v>45893.969849246227</v>
      </c>
      <c r="C3">
        <v>1087</v>
      </c>
      <c r="D3" t="s">
        <v>6</v>
      </c>
      <c r="E3">
        <v>3</v>
      </c>
    </row>
    <row r="4" spans="1:5" x14ac:dyDescent="0.25">
      <c r="A4">
        <v>167</v>
      </c>
      <c r="B4" s="2">
        <v>45907.537688442208</v>
      </c>
      <c r="C4">
        <v>1044</v>
      </c>
      <c r="D4" t="s">
        <v>5</v>
      </c>
      <c r="E4">
        <v>3</v>
      </c>
    </row>
    <row r="5" spans="1:5" x14ac:dyDescent="0.25">
      <c r="A5">
        <v>4</v>
      </c>
      <c r="B5" s="2">
        <v>45870.678391959787</v>
      </c>
      <c r="C5">
        <v>1014</v>
      </c>
      <c r="D5" t="s">
        <v>6</v>
      </c>
      <c r="E5">
        <v>3.42</v>
      </c>
    </row>
    <row r="6" spans="1:5" x14ac:dyDescent="0.25">
      <c r="A6">
        <v>200</v>
      </c>
      <c r="B6" s="2">
        <v>45915</v>
      </c>
      <c r="C6">
        <v>1117</v>
      </c>
      <c r="D6" t="s">
        <v>6</v>
      </c>
      <c r="E6">
        <v>3.48</v>
      </c>
    </row>
    <row r="7" spans="1:5" x14ac:dyDescent="0.25">
      <c r="A7">
        <v>185</v>
      </c>
      <c r="B7" s="2">
        <v>45911.608040200997</v>
      </c>
      <c r="C7">
        <v>1189</v>
      </c>
      <c r="D7" t="s">
        <v>6</v>
      </c>
      <c r="E7">
        <v>3.55</v>
      </c>
    </row>
    <row r="8" spans="1:5" x14ac:dyDescent="0.25">
      <c r="A8">
        <v>109</v>
      </c>
      <c r="B8" s="2">
        <v>45894.422110552747</v>
      </c>
      <c r="C8">
        <v>1135</v>
      </c>
      <c r="D8" t="s">
        <v>7</v>
      </c>
      <c r="E8">
        <v>3.85</v>
      </c>
    </row>
    <row r="9" spans="1:5" x14ac:dyDescent="0.25">
      <c r="A9">
        <v>94</v>
      </c>
      <c r="B9" s="2">
        <v>45891.030150753759</v>
      </c>
      <c r="C9">
        <v>1052</v>
      </c>
      <c r="D9" t="s">
        <v>8</v>
      </c>
      <c r="E9">
        <v>3.89</v>
      </c>
    </row>
    <row r="10" spans="1:5" x14ac:dyDescent="0.25">
      <c r="A10">
        <v>44</v>
      </c>
      <c r="B10" s="2">
        <v>45879.723618090451</v>
      </c>
      <c r="C10">
        <v>1063</v>
      </c>
      <c r="D10" t="s">
        <v>7</v>
      </c>
      <c r="E10">
        <v>3.9</v>
      </c>
    </row>
    <row r="11" spans="1:5" x14ac:dyDescent="0.25">
      <c r="A11">
        <v>134</v>
      </c>
      <c r="B11" s="2">
        <v>45900.075376884422</v>
      </c>
      <c r="C11">
        <v>1192</v>
      </c>
      <c r="D11" t="s">
        <v>5</v>
      </c>
      <c r="E11">
        <v>4.59</v>
      </c>
    </row>
    <row r="12" spans="1:5" x14ac:dyDescent="0.25">
      <c r="A12">
        <v>79</v>
      </c>
      <c r="B12" s="2">
        <v>45887.638190954771</v>
      </c>
      <c r="C12">
        <v>1053</v>
      </c>
      <c r="D12" t="s">
        <v>6</v>
      </c>
      <c r="E12">
        <v>4.6500000000000004</v>
      </c>
    </row>
    <row r="13" spans="1:5" x14ac:dyDescent="0.25">
      <c r="A13">
        <v>59</v>
      </c>
      <c r="B13" s="2">
        <v>45883.115577889454</v>
      </c>
      <c r="C13">
        <v>1129</v>
      </c>
      <c r="D13" t="s">
        <v>6</v>
      </c>
      <c r="E13">
        <v>4.75</v>
      </c>
    </row>
    <row r="14" spans="1:5" x14ac:dyDescent="0.25">
      <c r="A14">
        <v>51</v>
      </c>
      <c r="B14" s="2">
        <v>45881.306532663308</v>
      </c>
      <c r="C14">
        <v>1017</v>
      </c>
      <c r="D14" t="s">
        <v>6</v>
      </c>
      <c r="E14">
        <v>4.78</v>
      </c>
    </row>
    <row r="15" spans="1:5" x14ac:dyDescent="0.25">
      <c r="A15">
        <v>195</v>
      </c>
      <c r="B15" s="2">
        <v>45913.869346733663</v>
      </c>
      <c r="C15">
        <v>1164</v>
      </c>
      <c r="D15" t="s">
        <v>5</v>
      </c>
      <c r="E15">
        <v>4.8099999999999996</v>
      </c>
    </row>
    <row r="16" spans="1:5" x14ac:dyDescent="0.25">
      <c r="A16">
        <v>135</v>
      </c>
      <c r="B16" s="2">
        <v>45900.301507537682</v>
      </c>
      <c r="C16">
        <v>1100</v>
      </c>
      <c r="D16" t="s">
        <v>6</v>
      </c>
      <c r="E16">
        <v>4.84</v>
      </c>
    </row>
    <row r="17" spans="1:8" ht="15.75" x14ac:dyDescent="0.25">
      <c r="A17">
        <v>96</v>
      </c>
      <c r="B17" s="2">
        <v>45891.482412060301</v>
      </c>
      <c r="C17">
        <v>1153</v>
      </c>
      <c r="D17" t="s">
        <v>6</v>
      </c>
      <c r="E17">
        <v>4.9000000000000004</v>
      </c>
      <c r="G17" s="3" t="s">
        <v>9</v>
      </c>
      <c r="H17" s="5">
        <f>SUM(E2:E205)/200</f>
        <v>16.101500000000001</v>
      </c>
    </row>
    <row r="18" spans="1:8" ht="15.75" x14ac:dyDescent="0.25">
      <c r="A18">
        <v>69</v>
      </c>
      <c r="B18" s="2">
        <v>45885.376884422098</v>
      </c>
      <c r="C18">
        <v>1080</v>
      </c>
      <c r="D18" t="s">
        <v>7</v>
      </c>
      <c r="E18">
        <v>5.0599999999999996</v>
      </c>
      <c r="G18" s="4"/>
      <c r="H18" s="5"/>
    </row>
    <row r="19" spans="1:8" ht="15.75" x14ac:dyDescent="0.25">
      <c r="A19">
        <v>104</v>
      </c>
      <c r="B19" s="2">
        <v>45893.291457286417</v>
      </c>
      <c r="C19">
        <v>1088</v>
      </c>
      <c r="D19" t="s">
        <v>6</v>
      </c>
      <c r="E19">
        <v>5.12</v>
      </c>
      <c r="G19" s="3" t="s">
        <v>10</v>
      </c>
      <c r="H19" s="5">
        <f>GEOMEAN(E2:E205)</f>
        <v>12.643356676462746</v>
      </c>
    </row>
    <row r="20" spans="1:8" ht="15.75" x14ac:dyDescent="0.25">
      <c r="A20">
        <v>198</v>
      </c>
      <c r="B20" s="2">
        <v>45914.547738693458</v>
      </c>
      <c r="C20">
        <v>1151</v>
      </c>
      <c r="D20" t="s">
        <v>6</v>
      </c>
      <c r="E20">
        <v>5.27</v>
      </c>
      <c r="G20" s="4"/>
      <c r="H20" s="5"/>
    </row>
    <row r="21" spans="1:8" ht="15.75" x14ac:dyDescent="0.25">
      <c r="A21">
        <v>78</v>
      </c>
      <c r="B21" s="2">
        <v>45887.412060301504</v>
      </c>
      <c r="C21">
        <v>1003</v>
      </c>
      <c r="D21" t="s">
        <v>8</v>
      </c>
      <c r="E21">
        <v>5.32</v>
      </c>
      <c r="G21" s="3" t="s">
        <v>11</v>
      </c>
      <c r="H21" s="5">
        <f>_xlfn.PERCENTILE.INC(E2:E205,0.95)</f>
        <v>38.204999999999998</v>
      </c>
    </row>
    <row r="22" spans="1:8" x14ac:dyDescent="0.25">
      <c r="A22">
        <v>56</v>
      </c>
      <c r="B22" s="2">
        <v>45882.437185929637</v>
      </c>
      <c r="C22">
        <v>1008</v>
      </c>
      <c r="D22" t="s">
        <v>8</v>
      </c>
      <c r="E22">
        <v>5.36</v>
      </c>
    </row>
    <row r="23" spans="1:8" ht="15.75" x14ac:dyDescent="0.25">
      <c r="A23">
        <v>129</v>
      </c>
      <c r="B23" s="2">
        <v>45898.944723618093</v>
      </c>
      <c r="C23">
        <v>1036</v>
      </c>
      <c r="D23" t="s">
        <v>6</v>
      </c>
      <c r="E23">
        <v>5.42</v>
      </c>
      <c r="G23" s="3" t="s">
        <v>12</v>
      </c>
      <c r="H23" s="5">
        <f>_xlfn.STDEV.S(E2:E205)</f>
        <v>12.283805706419042</v>
      </c>
    </row>
    <row r="24" spans="1:8" x14ac:dyDescent="0.25">
      <c r="A24">
        <v>30</v>
      </c>
      <c r="B24" s="2">
        <v>45876.557788944723</v>
      </c>
      <c r="C24">
        <v>1021</v>
      </c>
      <c r="D24" t="s">
        <v>7</v>
      </c>
      <c r="E24">
        <v>5.53</v>
      </c>
    </row>
    <row r="25" spans="1:8" ht="15.75" x14ac:dyDescent="0.25">
      <c r="A25">
        <v>26</v>
      </c>
      <c r="B25" s="2">
        <v>45875.653266331647</v>
      </c>
      <c r="C25">
        <v>1187</v>
      </c>
      <c r="D25" t="s">
        <v>5</v>
      </c>
      <c r="E25">
        <v>5.61</v>
      </c>
      <c r="G25" s="3" t="s">
        <v>13</v>
      </c>
      <c r="H25" s="5">
        <f>H23/H17*100</f>
        <v>76.289822106133215</v>
      </c>
    </row>
    <row r="26" spans="1:8" x14ac:dyDescent="0.25">
      <c r="A26">
        <v>33</v>
      </c>
      <c r="B26" s="2">
        <v>45877.236180904511</v>
      </c>
      <c r="C26">
        <v>1058</v>
      </c>
      <c r="D26" t="s">
        <v>7</v>
      </c>
      <c r="E26">
        <v>5.71</v>
      </c>
    </row>
    <row r="27" spans="1:8" x14ac:dyDescent="0.25">
      <c r="A27">
        <v>141</v>
      </c>
      <c r="B27" s="2">
        <v>45901.658291457279</v>
      </c>
      <c r="C27">
        <v>1102</v>
      </c>
      <c r="D27" t="s">
        <v>5</v>
      </c>
      <c r="E27">
        <v>5.73</v>
      </c>
    </row>
    <row r="28" spans="1:8" x14ac:dyDescent="0.25">
      <c r="A28">
        <v>125</v>
      </c>
      <c r="B28" s="2">
        <v>45898.040201005017</v>
      </c>
      <c r="C28">
        <v>1032</v>
      </c>
      <c r="D28" t="s">
        <v>6</v>
      </c>
      <c r="E28">
        <v>5.81</v>
      </c>
    </row>
    <row r="29" spans="1:8" x14ac:dyDescent="0.25">
      <c r="A29">
        <v>91</v>
      </c>
      <c r="B29" s="2">
        <v>45890.351758793957</v>
      </c>
      <c r="C29">
        <v>1039</v>
      </c>
      <c r="D29" t="s">
        <v>5</v>
      </c>
      <c r="E29">
        <v>6.51</v>
      </c>
    </row>
    <row r="30" spans="1:8" x14ac:dyDescent="0.25">
      <c r="A30">
        <v>123</v>
      </c>
      <c r="B30" s="2">
        <v>45897.587939698482</v>
      </c>
      <c r="C30">
        <v>1011</v>
      </c>
      <c r="D30" t="s">
        <v>8</v>
      </c>
      <c r="E30">
        <v>6.64</v>
      </c>
    </row>
    <row r="31" spans="1:8" x14ac:dyDescent="0.25">
      <c r="A31">
        <v>32</v>
      </c>
      <c r="B31" s="2">
        <v>45877.010050251251</v>
      </c>
      <c r="C31">
        <v>1048</v>
      </c>
      <c r="D31" t="s">
        <v>5</v>
      </c>
      <c r="E31">
        <v>6.66</v>
      </c>
    </row>
    <row r="32" spans="1:8" x14ac:dyDescent="0.25">
      <c r="A32">
        <v>88</v>
      </c>
      <c r="B32" s="2">
        <v>45889.673366834169</v>
      </c>
      <c r="C32">
        <v>1014</v>
      </c>
      <c r="D32" t="s">
        <v>5</v>
      </c>
      <c r="E32">
        <v>6.77</v>
      </c>
    </row>
    <row r="33" spans="1:5" x14ac:dyDescent="0.25">
      <c r="A33">
        <v>164</v>
      </c>
      <c r="B33" s="2">
        <v>45906.859296482413</v>
      </c>
      <c r="C33">
        <v>1027</v>
      </c>
      <c r="D33" t="s">
        <v>5</v>
      </c>
      <c r="E33">
        <v>6.84</v>
      </c>
    </row>
    <row r="34" spans="1:5" x14ac:dyDescent="0.25">
      <c r="A34">
        <v>117</v>
      </c>
      <c r="B34" s="2">
        <v>45896.231155778893</v>
      </c>
      <c r="C34">
        <v>1122</v>
      </c>
      <c r="D34" t="s">
        <v>6</v>
      </c>
      <c r="E34">
        <v>7</v>
      </c>
    </row>
    <row r="35" spans="1:5" x14ac:dyDescent="0.25">
      <c r="A35">
        <v>121</v>
      </c>
      <c r="B35" s="2">
        <v>45897.135678391947</v>
      </c>
      <c r="C35">
        <v>1134</v>
      </c>
      <c r="D35" t="s">
        <v>6</v>
      </c>
      <c r="E35">
        <v>7.1</v>
      </c>
    </row>
    <row r="36" spans="1:5" x14ac:dyDescent="0.25">
      <c r="A36">
        <v>128</v>
      </c>
      <c r="B36" s="2">
        <v>45898.718592964811</v>
      </c>
      <c r="C36">
        <v>1061</v>
      </c>
      <c r="D36" t="s">
        <v>6</v>
      </c>
      <c r="E36">
        <v>7.1</v>
      </c>
    </row>
    <row r="37" spans="1:5" x14ac:dyDescent="0.25">
      <c r="A37">
        <v>24</v>
      </c>
      <c r="B37" s="2">
        <v>45875.201005025119</v>
      </c>
      <c r="C37">
        <v>1129</v>
      </c>
      <c r="D37" t="s">
        <v>6</v>
      </c>
      <c r="E37">
        <v>7.13</v>
      </c>
    </row>
    <row r="38" spans="1:5" x14ac:dyDescent="0.25">
      <c r="A38">
        <v>65</v>
      </c>
      <c r="B38" s="2">
        <v>45884.472361809043</v>
      </c>
      <c r="C38">
        <v>1171</v>
      </c>
      <c r="D38" t="s">
        <v>8</v>
      </c>
      <c r="E38">
        <v>7.19</v>
      </c>
    </row>
    <row r="39" spans="1:5" x14ac:dyDescent="0.25">
      <c r="A39">
        <v>163</v>
      </c>
      <c r="B39" s="2">
        <v>45906.633165829153</v>
      </c>
      <c r="C39">
        <v>1085</v>
      </c>
      <c r="D39" t="s">
        <v>8</v>
      </c>
      <c r="E39">
        <v>7.21</v>
      </c>
    </row>
    <row r="40" spans="1:5" x14ac:dyDescent="0.25">
      <c r="A40">
        <v>105</v>
      </c>
      <c r="B40" s="2">
        <v>45893.517587939677</v>
      </c>
      <c r="C40">
        <v>1070</v>
      </c>
      <c r="D40" t="s">
        <v>8</v>
      </c>
      <c r="E40">
        <v>7.22</v>
      </c>
    </row>
    <row r="41" spans="1:5" x14ac:dyDescent="0.25">
      <c r="A41">
        <v>60</v>
      </c>
      <c r="B41" s="2">
        <v>45883.341708542714</v>
      </c>
      <c r="C41">
        <v>1083</v>
      </c>
      <c r="D41" t="s">
        <v>6</v>
      </c>
      <c r="E41">
        <v>7.24</v>
      </c>
    </row>
    <row r="42" spans="1:5" x14ac:dyDescent="0.25">
      <c r="A42">
        <v>34</v>
      </c>
      <c r="B42" s="2">
        <v>45877.462311557778</v>
      </c>
      <c r="C42">
        <v>1169</v>
      </c>
      <c r="D42" t="s">
        <v>8</v>
      </c>
      <c r="E42">
        <v>7.32</v>
      </c>
    </row>
    <row r="43" spans="1:5" x14ac:dyDescent="0.25">
      <c r="A43">
        <v>68</v>
      </c>
      <c r="B43" s="2">
        <v>45885.150753768838</v>
      </c>
      <c r="C43">
        <v>1034</v>
      </c>
      <c r="D43" t="s">
        <v>7</v>
      </c>
      <c r="E43">
        <v>7.4</v>
      </c>
    </row>
    <row r="44" spans="1:5" x14ac:dyDescent="0.25">
      <c r="A44">
        <v>130</v>
      </c>
      <c r="B44" s="2">
        <v>45899.170854271353</v>
      </c>
      <c r="C44">
        <v>1098</v>
      </c>
      <c r="D44" t="s">
        <v>6</v>
      </c>
      <c r="E44">
        <v>7.55</v>
      </c>
    </row>
    <row r="45" spans="1:5" x14ac:dyDescent="0.25">
      <c r="A45">
        <v>127</v>
      </c>
      <c r="B45" s="2">
        <v>45898.492462311551</v>
      </c>
      <c r="C45">
        <v>1150</v>
      </c>
      <c r="D45" t="s">
        <v>6</v>
      </c>
      <c r="E45">
        <v>7.62</v>
      </c>
    </row>
    <row r="46" spans="1:5" x14ac:dyDescent="0.25">
      <c r="A46">
        <v>161</v>
      </c>
      <c r="B46" s="2">
        <v>45906.180904522596</v>
      </c>
      <c r="C46">
        <v>1070</v>
      </c>
      <c r="D46" t="s">
        <v>7</v>
      </c>
      <c r="E46">
        <v>7.7</v>
      </c>
    </row>
    <row r="47" spans="1:5" x14ac:dyDescent="0.25">
      <c r="A47">
        <v>93</v>
      </c>
      <c r="B47" s="2">
        <v>45890.804020100499</v>
      </c>
      <c r="C47">
        <v>1110</v>
      </c>
      <c r="D47" t="s">
        <v>5</v>
      </c>
      <c r="E47">
        <v>7.77</v>
      </c>
    </row>
    <row r="48" spans="1:5" x14ac:dyDescent="0.25">
      <c r="A48">
        <v>151</v>
      </c>
      <c r="B48" s="2">
        <v>45903.919597989952</v>
      </c>
      <c r="C48">
        <v>1051</v>
      </c>
      <c r="D48" t="s">
        <v>6</v>
      </c>
      <c r="E48">
        <v>7.91</v>
      </c>
    </row>
    <row r="49" spans="1:5" x14ac:dyDescent="0.25">
      <c r="A49">
        <v>148</v>
      </c>
      <c r="B49" s="2">
        <v>45903.24120603015</v>
      </c>
      <c r="C49">
        <v>1178</v>
      </c>
      <c r="D49" t="s">
        <v>5</v>
      </c>
      <c r="E49">
        <v>7.99</v>
      </c>
    </row>
    <row r="50" spans="1:5" x14ac:dyDescent="0.25">
      <c r="A50">
        <v>23</v>
      </c>
      <c r="B50" s="2">
        <v>45874.974874371852</v>
      </c>
      <c r="C50">
        <v>1037</v>
      </c>
      <c r="D50" t="s">
        <v>6</v>
      </c>
      <c r="E50">
        <v>8.0299999999999994</v>
      </c>
    </row>
    <row r="51" spans="1:5" x14ac:dyDescent="0.25">
      <c r="A51">
        <v>162</v>
      </c>
      <c r="B51" s="2">
        <v>45906.407035175871</v>
      </c>
      <c r="C51">
        <v>1186</v>
      </c>
      <c r="D51" t="s">
        <v>6</v>
      </c>
      <c r="E51">
        <v>8.1300000000000008</v>
      </c>
    </row>
    <row r="52" spans="1:5" x14ac:dyDescent="0.25">
      <c r="A52">
        <v>133</v>
      </c>
      <c r="B52" s="2">
        <v>45899.849246231148</v>
      </c>
      <c r="C52">
        <v>1034</v>
      </c>
      <c r="D52" t="s">
        <v>7</v>
      </c>
      <c r="E52">
        <v>8.15</v>
      </c>
    </row>
    <row r="53" spans="1:5" x14ac:dyDescent="0.25">
      <c r="A53">
        <v>159</v>
      </c>
      <c r="B53" s="2">
        <v>45905.728643216084</v>
      </c>
      <c r="C53">
        <v>1012</v>
      </c>
      <c r="D53" t="s">
        <v>5</v>
      </c>
      <c r="E53">
        <v>8.15</v>
      </c>
    </row>
    <row r="54" spans="1:5" x14ac:dyDescent="0.25">
      <c r="A54">
        <v>55</v>
      </c>
      <c r="B54" s="2">
        <v>45882.211055276377</v>
      </c>
      <c r="C54">
        <v>1013</v>
      </c>
      <c r="D54" t="s">
        <v>8</v>
      </c>
      <c r="E54">
        <v>8.24</v>
      </c>
    </row>
    <row r="55" spans="1:5" x14ac:dyDescent="0.25">
      <c r="A55">
        <v>95</v>
      </c>
      <c r="B55" s="2">
        <v>45891.256281407033</v>
      </c>
      <c r="C55">
        <v>1023</v>
      </c>
      <c r="D55" t="s">
        <v>5</v>
      </c>
      <c r="E55">
        <v>8.5</v>
      </c>
    </row>
    <row r="56" spans="1:5" x14ac:dyDescent="0.25">
      <c r="A56">
        <v>171</v>
      </c>
      <c r="B56" s="2">
        <v>45908.44221105527</v>
      </c>
      <c r="C56">
        <v>1027</v>
      </c>
      <c r="D56" t="s">
        <v>8</v>
      </c>
      <c r="E56">
        <v>8.56</v>
      </c>
    </row>
    <row r="57" spans="1:5" x14ac:dyDescent="0.25">
      <c r="A57">
        <v>116</v>
      </c>
      <c r="B57" s="2">
        <v>45896.005025125633</v>
      </c>
      <c r="C57">
        <v>1032</v>
      </c>
      <c r="D57" t="s">
        <v>6</v>
      </c>
      <c r="E57">
        <v>8.6</v>
      </c>
    </row>
    <row r="58" spans="1:5" x14ac:dyDescent="0.25">
      <c r="A58">
        <v>48</v>
      </c>
      <c r="B58" s="2">
        <v>45880.628140703513</v>
      </c>
      <c r="C58">
        <v>1020</v>
      </c>
      <c r="D58" t="s">
        <v>5</v>
      </c>
      <c r="E58">
        <v>8.64</v>
      </c>
    </row>
    <row r="59" spans="1:5" x14ac:dyDescent="0.25">
      <c r="A59">
        <v>25</v>
      </c>
      <c r="B59" s="2">
        <v>45875.427135678387</v>
      </c>
      <c r="C59">
        <v>1191</v>
      </c>
      <c r="D59" t="s">
        <v>7</v>
      </c>
      <c r="E59">
        <v>8.65</v>
      </c>
    </row>
    <row r="60" spans="1:5" x14ac:dyDescent="0.25">
      <c r="A60">
        <v>103</v>
      </c>
      <c r="B60" s="2">
        <v>45893.065326633157</v>
      </c>
      <c r="C60">
        <v>1064</v>
      </c>
      <c r="D60" t="s">
        <v>7</v>
      </c>
      <c r="E60">
        <v>8.68</v>
      </c>
    </row>
    <row r="61" spans="1:5" x14ac:dyDescent="0.25">
      <c r="A61">
        <v>169</v>
      </c>
      <c r="B61" s="2">
        <v>45907.989949748728</v>
      </c>
      <c r="C61">
        <v>1184</v>
      </c>
      <c r="D61" t="s">
        <v>6</v>
      </c>
      <c r="E61">
        <v>8.7899999999999991</v>
      </c>
    </row>
    <row r="62" spans="1:5" x14ac:dyDescent="0.25">
      <c r="A62">
        <v>40</v>
      </c>
      <c r="B62" s="2">
        <v>45878.819095477382</v>
      </c>
      <c r="C62">
        <v>1189</v>
      </c>
      <c r="D62" t="s">
        <v>6</v>
      </c>
      <c r="E62">
        <v>8.86</v>
      </c>
    </row>
    <row r="63" spans="1:5" x14ac:dyDescent="0.25">
      <c r="A63">
        <v>77</v>
      </c>
      <c r="B63" s="2">
        <v>45887.185929648243</v>
      </c>
      <c r="C63">
        <v>1105</v>
      </c>
      <c r="D63" t="s">
        <v>5</v>
      </c>
      <c r="E63">
        <v>8.86</v>
      </c>
    </row>
    <row r="64" spans="1:5" x14ac:dyDescent="0.25">
      <c r="A64">
        <v>131</v>
      </c>
      <c r="B64" s="2">
        <v>45899.39698492462</v>
      </c>
      <c r="C64">
        <v>1171</v>
      </c>
      <c r="D64" t="s">
        <v>7</v>
      </c>
      <c r="E64">
        <v>8.92</v>
      </c>
    </row>
    <row r="65" spans="1:5" x14ac:dyDescent="0.25">
      <c r="A65">
        <v>124</v>
      </c>
      <c r="B65" s="2">
        <v>45897.814070351749</v>
      </c>
      <c r="C65">
        <v>1161</v>
      </c>
      <c r="D65" t="s">
        <v>6</v>
      </c>
      <c r="E65">
        <v>8.94</v>
      </c>
    </row>
    <row r="66" spans="1:5" x14ac:dyDescent="0.25">
      <c r="A66">
        <v>3</v>
      </c>
      <c r="B66" s="2">
        <v>45870.452261306527</v>
      </c>
      <c r="C66">
        <v>1092</v>
      </c>
      <c r="D66" t="s">
        <v>5</v>
      </c>
      <c r="E66">
        <v>8.99</v>
      </c>
    </row>
    <row r="67" spans="1:5" x14ac:dyDescent="0.25">
      <c r="A67">
        <v>113</v>
      </c>
      <c r="B67" s="2">
        <v>45895.326633165823</v>
      </c>
      <c r="C67">
        <v>1135</v>
      </c>
      <c r="D67" t="s">
        <v>5</v>
      </c>
      <c r="E67">
        <v>9.0399999999999991</v>
      </c>
    </row>
    <row r="68" spans="1:5" x14ac:dyDescent="0.25">
      <c r="A68">
        <v>115</v>
      </c>
      <c r="B68" s="2">
        <v>45895.778894472358</v>
      </c>
      <c r="C68">
        <v>1162</v>
      </c>
      <c r="D68" t="s">
        <v>6</v>
      </c>
      <c r="E68">
        <v>9.0399999999999991</v>
      </c>
    </row>
    <row r="69" spans="1:5" x14ac:dyDescent="0.25">
      <c r="A69">
        <v>184</v>
      </c>
      <c r="B69" s="2">
        <v>45911.38190954773</v>
      </c>
      <c r="C69">
        <v>1026</v>
      </c>
      <c r="D69" t="s">
        <v>5</v>
      </c>
      <c r="E69">
        <v>9.14</v>
      </c>
    </row>
    <row r="70" spans="1:5" x14ac:dyDescent="0.25">
      <c r="A70">
        <v>144</v>
      </c>
      <c r="B70" s="2">
        <v>45902.336683417081</v>
      </c>
      <c r="C70">
        <v>1014</v>
      </c>
      <c r="D70" t="s">
        <v>6</v>
      </c>
      <c r="E70">
        <v>9.17</v>
      </c>
    </row>
    <row r="71" spans="1:5" x14ac:dyDescent="0.25">
      <c r="A71">
        <v>28</v>
      </c>
      <c r="B71" s="2">
        <v>45876.105527638181</v>
      </c>
      <c r="C71">
        <v>1160</v>
      </c>
      <c r="D71" t="s">
        <v>6</v>
      </c>
      <c r="E71">
        <v>9.27</v>
      </c>
    </row>
    <row r="72" spans="1:5" x14ac:dyDescent="0.25">
      <c r="A72">
        <v>5</v>
      </c>
      <c r="B72" s="2">
        <v>45870.904522613047</v>
      </c>
      <c r="C72">
        <v>1106</v>
      </c>
      <c r="D72" t="s">
        <v>6</v>
      </c>
      <c r="E72">
        <v>9.33</v>
      </c>
    </row>
    <row r="73" spans="1:5" x14ac:dyDescent="0.25">
      <c r="A73">
        <v>174</v>
      </c>
      <c r="B73" s="2">
        <v>45909.120603015072</v>
      </c>
      <c r="C73">
        <v>1043</v>
      </c>
      <c r="D73" t="s">
        <v>6</v>
      </c>
      <c r="E73">
        <v>9.5</v>
      </c>
    </row>
    <row r="74" spans="1:5" x14ac:dyDescent="0.25">
      <c r="A74">
        <v>150</v>
      </c>
      <c r="B74" s="2">
        <v>45903.693467336678</v>
      </c>
      <c r="C74">
        <v>1095</v>
      </c>
      <c r="D74" t="s">
        <v>7</v>
      </c>
      <c r="E74">
        <v>9.58</v>
      </c>
    </row>
    <row r="75" spans="1:5" x14ac:dyDescent="0.25">
      <c r="A75">
        <v>47</v>
      </c>
      <c r="B75" s="2">
        <v>45880.402010050253</v>
      </c>
      <c r="C75">
        <v>1134</v>
      </c>
      <c r="D75" t="s">
        <v>6</v>
      </c>
      <c r="E75">
        <v>9.6199999999999992</v>
      </c>
    </row>
    <row r="76" spans="1:5" x14ac:dyDescent="0.25">
      <c r="A76">
        <v>90</v>
      </c>
      <c r="B76" s="2">
        <v>45890.125628140697</v>
      </c>
      <c r="C76">
        <v>1189</v>
      </c>
      <c r="D76" t="s">
        <v>6</v>
      </c>
      <c r="E76">
        <v>9.7200000000000006</v>
      </c>
    </row>
    <row r="77" spans="1:5" x14ac:dyDescent="0.25">
      <c r="A77">
        <v>57</v>
      </c>
      <c r="B77" s="2">
        <v>45882.663316582897</v>
      </c>
      <c r="C77">
        <v>1089</v>
      </c>
      <c r="D77" t="s">
        <v>5</v>
      </c>
      <c r="E77">
        <v>9.8699999999999992</v>
      </c>
    </row>
    <row r="78" spans="1:5" x14ac:dyDescent="0.25">
      <c r="A78">
        <v>83</v>
      </c>
      <c r="B78" s="2">
        <v>45888.542713567833</v>
      </c>
      <c r="C78">
        <v>1161</v>
      </c>
      <c r="D78" t="s">
        <v>6</v>
      </c>
      <c r="E78">
        <v>9.92</v>
      </c>
    </row>
    <row r="79" spans="1:5" x14ac:dyDescent="0.25">
      <c r="A79">
        <v>18</v>
      </c>
      <c r="B79" s="2">
        <v>45873.844221105523</v>
      </c>
      <c r="C79">
        <v>1149</v>
      </c>
      <c r="D79" t="s">
        <v>5</v>
      </c>
      <c r="E79">
        <v>10.199999999999999</v>
      </c>
    </row>
    <row r="80" spans="1:5" x14ac:dyDescent="0.25">
      <c r="A80">
        <v>168</v>
      </c>
      <c r="B80" s="2">
        <v>45907.763819095468</v>
      </c>
      <c r="C80">
        <v>1061</v>
      </c>
      <c r="D80" t="s">
        <v>7</v>
      </c>
      <c r="E80">
        <v>10.220000000000001</v>
      </c>
    </row>
    <row r="81" spans="1:5" x14ac:dyDescent="0.25">
      <c r="A81">
        <v>187</v>
      </c>
      <c r="B81" s="2">
        <v>45912.060301507532</v>
      </c>
      <c r="C81">
        <v>1115</v>
      </c>
      <c r="D81" t="s">
        <v>6</v>
      </c>
      <c r="E81">
        <v>10.25</v>
      </c>
    </row>
    <row r="82" spans="1:5" x14ac:dyDescent="0.25">
      <c r="A82">
        <v>75</v>
      </c>
      <c r="B82" s="2">
        <v>45886.733668341702</v>
      </c>
      <c r="C82">
        <v>1133</v>
      </c>
      <c r="D82" t="s">
        <v>6</v>
      </c>
      <c r="E82">
        <v>10.28</v>
      </c>
    </row>
    <row r="83" spans="1:5" x14ac:dyDescent="0.25">
      <c r="A83">
        <v>166</v>
      </c>
      <c r="B83" s="2">
        <v>45907.311557788933</v>
      </c>
      <c r="C83">
        <v>1169</v>
      </c>
      <c r="D83" t="s">
        <v>6</v>
      </c>
      <c r="E83">
        <v>10.28</v>
      </c>
    </row>
    <row r="84" spans="1:5" x14ac:dyDescent="0.25">
      <c r="A84">
        <v>122</v>
      </c>
      <c r="B84" s="2">
        <v>45897.361809045222</v>
      </c>
      <c r="C84">
        <v>1071</v>
      </c>
      <c r="D84" t="s">
        <v>7</v>
      </c>
      <c r="E84">
        <v>10.42</v>
      </c>
    </row>
    <row r="85" spans="1:5" x14ac:dyDescent="0.25">
      <c r="A85">
        <v>63</v>
      </c>
      <c r="B85" s="2">
        <v>45884.020100502508</v>
      </c>
      <c r="C85">
        <v>1187</v>
      </c>
      <c r="D85" t="s">
        <v>8</v>
      </c>
      <c r="E85">
        <v>10.64</v>
      </c>
    </row>
    <row r="86" spans="1:5" x14ac:dyDescent="0.25">
      <c r="A86">
        <v>191</v>
      </c>
      <c r="B86" s="2">
        <v>45912.964824120601</v>
      </c>
      <c r="C86">
        <v>1199</v>
      </c>
      <c r="D86" t="s">
        <v>7</v>
      </c>
      <c r="E86">
        <v>10.68</v>
      </c>
    </row>
    <row r="87" spans="1:5" x14ac:dyDescent="0.25">
      <c r="A87">
        <v>38</v>
      </c>
      <c r="B87" s="2">
        <v>45878.366834170847</v>
      </c>
      <c r="C87">
        <v>1189</v>
      </c>
      <c r="D87" t="s">
        <v>7</v>
      </c>
      <c r="E87">
        <v>10.75</v>
      </c>
    </row>
    <row r="88" spans="1:5" x14ac:dyDescent="0.25">
      <c r="A88">
        <v>111</v>
      </c>
      <c r="B88" s="2">
        <v>45894.874371859303</v>
      </c>
      <c r="C88">
        <v>1138</v>
      </c>
      <c r="D88" t="s">
        <v>6</v>
      </c>
      <c r="E88">
        <v>10.85</v>
      </c>
    </row>
    <row r="89" spans="1:5" x14ac:dyDescent="0.25">
      <c r="A89">
        <v>62</v>
      </c>
      <c r="B89" s="2">
        <v>45883.793969849226</v>
      </c>
      <c r="C89">
        <v>1110</v>
      </c>
      <c r="D89" t="s">
        <v>7</v>
      </c>
      <c r="E89">
        <v>11.14</v>
      </c>
    </row>
    <row r="90" spans="1:5" x14ac:dyDescent="0.25">
      <c r="A90">
        <v>137</v>
      </c>
      <c r="B90" s="2">
        <v>45900.75376884421</v>
      </c>
      <c r="C90">
        <v>1130</v>
      </c>
      <c r="D90" t="s">
        <v>6</v>
      </c>
      <c r="E90">
        <v>11.15</v>
      </c>
    </row>
    <row r="91" spans="1:5" x14ac:dyDescent="0.25">
      <c r="A91">
        <v>39</v>
      </c>
      <c r="B91" s="2">
        <v>45878.592964824122</v>
      </c>
      <c r="C91">
        <v>1174</v>
      </c>
      <c r="D91" t="s">
        <v>6</v>
      </c>
      <c r="E91">
        <v>11.37</v>
      </c>
    </row>
    <row r="92" spans="1:5" x14ac:dyDescent="0.25">
      <c r="A92">
        <v>132</v>
      </c>
      <c r="B92" s="2">
        <v>45899.623115577881</v>
      </c>
      <c r="C92">
        <v>1103</v>
      </c>
      <c r="D92" t="s">
        <v>6</v>
      </c>
      <c r="E92">
        <v>11.65</v>
      </c>
    </row>
    <row r="93" spans="1:5" x14ac:dyDescent="0.25">
      <c r="A93">
        <v>106</v>
      </c>
      <c r="B93" s="2">
        <v>45893.743718592959</v>
      </c>
      <c r="C93">
        <v>1008</v>
      </c>
      <c r="D93" t="s">
        <v>5</v>
      </c>
      <c r="E93">
        <v>11.68</v>
      </c>
    </row>
    <row r="94" spans="1:5" x14ac:dyDescent="0.25">
      <c r="A94">
        <v>36</v>
      </c>
      <c r="B94" s="2">
        <v>45877.91457286432</v>
      </c>
      <c r="C94">
        <v>1014</v>
      </c>
      <c r="D94" t="s">
        <v>6</v>
      </c>
      <c r="E94">
        <v>11.71</v>
      </c>
    </row>
    <row r="95" spans="1:5" x14ac:dyDescent="0.25">
      <c r="A95">
        <v>66</v>
      </c>
      <c r="B95" s="2">
        <v>45884.698492462303</v>
      </c>
      <c r="C95">
        <v>1007</v>
      </c>
      <c r="D95" t="s">
        <v>8</v>
      </c>
      <c r="E95">
        <v>11.9</v>
      </c>
    </row>
    <row r="96" spans="1:5" x14ac:dyDescent="0.25">
      <c r="A96">
        <v>146</v>
      </c>
      <c r="B96" s="2">
        <v>45902.788944723608</v>
      </c>
      <c r="C96">
        <v>1041</v>
      </c>
      <c r="D96" t="s">
        <v>8</v>
      </c>
      <c r="E96">
        <v>11.9</v>
      </c>
    </row>
    <row r="97" spans="1:5" x14ac:dyDescent="0.25">
      <c r="A97">
        <v>7</v>
      </c>
      <c r="B97" s="2">
        <v>45871.356783919597</v>
      </c>
      <c r="C97">
        <v>1188</v>
      </c>
      <c r="D97" t="s">
        <v>7</v>
      </c>
      <c r="E97">
        <v>12.01</v>
      </c>
    </row>
    <row r="98" spans="1:5" x14ac:dyDescent="0.25">
      <c r="A98">
        <v>41</v>
      </c>
      <c r="B98" s="2">
        <v>45879.045226130649</v>
      </c>
      <c r="C98">
        <v>1050</v>
      </c>
      <c r="D98" t="s">
        <v>8</v>
      </c>
      <c r="E98">
        <v>12.37</v>
      </c>
    </row>
    <row r="99" spans="1:5" x14ac:dyDescent="0.25">
      <c r="A99">
        <v>179</v>
      </c>
      <c r="B99" s="2">
        <v>45910.251256281401</v>
      </c>
      <c r="C99">
        <v>1127</v>
      </c>
      <c r="D99" t="s">
        <v>6</v>
      </c>
      <c r="E99">
        <v>12.4</v>
      </c>
    </row>
    <row r="100" spans="1:5" x14ac:dyDescent="0.25">
      <c r="A100">
        <v>80</v>
      </c>
      <c r="B100" s="2">
        <v>45887.864321608031</v>
      </c>
      <c r="C100">
        <v>1190</v>
      </c>
      <c r="D100" t="s">
        <v>6</v>
      </c>
      <c r="E100">
        <v>12.58</v>
      </c>
    </row>
    <row r="101" spans="1:5" x14ac:dyDescent="0.25">
      <c r="A101">
        <v>74</v>
      </c>
      <c r="B101" s="2">
        <v>45886.507537688427</v>
      </c>
      <c r="C101">
        <v>1001</v>
      </c>
      <c r="D101" t="s">
        <v>6</v>
      </c>
      <c r="E101">
        <v>12.61</v>
      </c>
    </row>
    <row r="102" spans="1:5" x14ac:dyDescent="0.25">
      <c r="A102">
        <v>73</v>
      </c>
      <c r="B102" s="2">
        <v>45886.281407035167</v>
      </c>
      <c r="C102">
        <v>1131</v>
      </c>
      <c r="D102" t="s">
        <v>8</v>
      </c>
      <c r="E102">
        <v>12.67</v>
      </c>
    </row>
    <row r="103" spans="1:5" x14ac:dyDescent="0.25">
      <c r="A103">
        <v>27</v>
      </c>
      <c r="B103" s="2">
        <v>45875.879396984921</v>
      </c>
      <c r="C103">
        <v>1020</v>
      </c>
      <c r="D103" t="s">
        <v>8</v>
      </c>
      <c r="E103">
        <v>12.82</v>
      </c>
    </row>
    <row r="104" spans="1:5" x14ac:dyDescent="0.25">
      <c r="A104">
        <v>152</v>
      </c>
      <c r="B104" s="2">
        <v>45904.145728643212</v>
      </c>
      <c r="C104">
        <v>1095</v>
      </c>
      <c r="D104" t="s">
        <v>6</v>
      </c>
      <c r="E104">
        <v>12.82</v>
      </c>
    </row>
    <row r="105" spans="1:5" x14ac:dyDescent="0.25">
      <c r="A105">
        <v>6</v>
      </c>
      <c r="B105" s="2">
        <v>45871.130653266329</v>
      </c>
      <c r="C105">
        <v>1071</v>
      </c>
      <c r="D105" t="s">
        <v>6</v>
      </c>
      <c r="E105">
        <v>13.05</v>
      </c>
    </row>
    <row r="106" spans="1:5" x14ac:dyDescent="0.25">
      <c r="A106">
        <v>12</v>
      </c>
      <c r="B106" s="2">
        <v>45872.487437185933</v>
      </c>
      <c r="C106">
        <v>1087</v>
      </c>
      <c r="D106" t="s">
        <v>8</v>
      </c>
      <c r="E106">
        <v>13.12</v>
      </c>
    </row>
    <row r="107" spans="1:5" x14ac:dyDescent="0.25">
      <c r="A107">
        <v>140</v>
      </c>
      <c r="B107" s="2">
        <v>45901.432160804019</v>
      </c>
      <c r="C107">
        <v>1141</v>
      </c>
      <c r="D107" t="s">
        <v>6</v>
      </c>
      <c r="E107">
        <v>13.14</v>
      </c>
    </row>
    <row r="108" spans="1:5" x14ac:dyDescent="0.25">
      <c r="A108">
        <v>85</v>
      </c>
      <c r="B108" s="2">
        <v>45888.99497487436</v>
      </c>
      <c r="C108">
        <v>1013</v>
      </c>
      <c r="D108" t="s">
        <v>7</v>
      </c>
      <c r="E108">
        <v>13.42</v>
      </c>
    </row>
    <row r="109" spans="1:5" x14ac:dyDescent="0.25">
      <c r="A109">
        <v>142</v>
      </c>
      <c r="B109" s="2">
        <v>45901.884422110546</v>
      </c>
      <c r="C109">
        <v>1026</v>
      </c>
      <c r="D109" t="s">
        <v>6</v>
      </c>
      <c r="E109">
        <v>13.45</v>
      </c>
    </row>
    <row r="110" spans="1:5" x14ac:dyDescent="0.25">
      <c r="A110">
        <v>156</v>
      </c>
      <c r="B110" s="2">
        <v>45905.050251256267</v>
      </c>
      <c r="C110">
        <v>1170</v>
      </c>
      <c r="D110" t="s">
        <v>6</v>
      </c>
      <c r="E110">
        <v>13.48</v>
      </c>
    </row>
    <row r="111" spans="1:5" x14ac:dyDescent="0.25">
      <c r="A111">
        <v>67</v>
      </c>
      <c r="B111" s="2">
        <v>45884.92462311557</v>
      </c>
      <c r="C111">
        <v>1174</v>
      </c>
      <c r="D111" t="s">
        <v>8</v>
      </c>
      <c r="E111">
        <v>13.55</v>
      </c>
    </row>
    <row r="112" spans="1:5" x14ac:dyDescent="0.25">
      <c r="A112">
        <v>120</v>
      </c>
      <c r="B112" s="2">
        <v>45896.909547738687</v>
      </c>
      <c r="C112">
        <v>1027</v>
      </c>
      <c r="D112" t="s">
        <v>6</v>
      </c>
      <c r="E112">
        <v>13.61</v>
      </c>
    </row>
    <row r="113" spans="1:5" x14ac:dyDescent="0.25">
      <c r="A113">
        <v>114</v>
      </c>
      <c r="B113" s="2">
        <v>45895.552763819083</v>
      </c>
      <c r="C113">
        <v>1162</v>
      </c>
      <c r="D113" t="s">
        <v>8</v>
      </c>
      <c r="E113">
        <v>13.67</v>
      </c>
    </row>
    <row r="114" spans="1:5" x14ac:dyDescent="0.25">
      <c r="A114">
        <v>17</v>
      </c>
      <c r="B114" s="2">
        <v>45873.618090452263</v>
      </c>
      <c r="C114">
        <v>1130</v>
      </c>
      <c r="D114" t="s">
        <v>7</v>
      </c>
      <c r="E114">
        <v>13.75</v>
      </c>
    </row>
    <row r="115" spans="1:5" x14ac:dyDescent="0.25">
      <c r="A115">
        <v>190</v>
      </c>
      <c r="B115" s="2">
        <v>45912.738693467327</v>
      </c>
      <c r="C115">
        <v>1197</v>
      </c>
      <c r="D115" t="s">
        <v>5</v>
      </c>
      <c r="E115">
        <v>13.76</v>
      </c>
    </row>
    <row r="116" spans="1:5" x14ac:dyDescent="0.25">
      <c r="A116">
        <v>50</v>
      </c>
      <c r="B116" s="2">
        <v>45881.080402010048</v>
      </c>
      <c r="C116">
        <v>1166</v>
      </c>
      <c r="D116" t="s">
        <v>6</v>
      </c>
      <c r="E116">
        <v>13.77</v>
      </c>
    </row>
    <row r="117" spans="1:5" x14ac:dyDescent="0.25">
      <c r="A117">
        <v>177</v>
      </c>
      <c r="B117" s="2">
        <v>45909.798994974873</v>
      </c>
      <c r="C117">
        <v>1189</v>
      </c>
      <c r="D117" t="s">
        <v>6</v>
      </c>
      <c r="E117">
        <v>13.8</v>
      </c>
    </row>
    <row r="118" spans="1:5" x14ac:dyDescent="0.25">
      <c r="A118">
        <v>82</v>
      </c>
      <c r="B118" s="2">
        <v>45888.316582914573</v>
      </c>
      <c r="C118">
        <v>1043</v>
      </c>
      <c r="D118" t="s">
        <v>6</v>
      </c>
      <c r="E118">
        <v>13.84</v>
      </c>
    </row>
    <row r="119" spans="1:5" x14ac:dyDescent="0.25">
      <c r="A119">
        <v>180</v>
      </c>
      <c r="B119" s="2">
        <v>45910.477386934661</v>
      </c>
      <c r="C119">
        <v>1091</v>
      </c>
      <c r="D119" t="s">
        <v>5</v>
      </c>
      <c r="E119">
        <v>13.86</v>
      </c>
    </row>
    <row r="120" spans="1:5" x14ac:dyDescent="0.25">
      <c r="A120">
        <v>183</v>
      </c>
      <c r="B120" s="2">
        <v>45911.15577889447</v>
      </c>
      <c r="C120">
        <v>1120</v>
      </c>
      <c r="D120" t="s">
        <v>8</v>
      </c>
      <c r="E120">
        <v>13.95</v>
      </c>
    </row>
    <row r="121" spans="1:5" x14ac:dyDescent="0.25">
      <c r="A121">
        <v>70</v>
      </c>
      <c r="B121" s="2">
        <v>45885.603015075372</v>
      </c>
      <c r="C121">
        <v>1163</v>
      </c>
      <c r="D121" t="s">
        <v>5</v>
      </c>
      <c r="E121">
        <v>14.1</v>
      </c>
    </row>
    <row r="122" spans="1:5" x14ac:dyDescent="0.25">
      <c r="A122">
        <v>112</v>
      </c>
      <c r="B122" s="2">
        <v>45895.100502512563</v>
      </c>
      <c r="C122">
        <v>1080</v>
      </c>
      <c r="D122" t="s">
        <v>5</v>
      </c>
      <c r="E122">
        <v>14.24</v>
      </c>
    </row>
    <row r="123" spans="1:5" x14ac:dyDescent="0.25">
      <c r="A123">
        <v>155</v>
      </c>
      <c r="B123" s="2">
        <v>45904.824120603007</v>
      </c>
      <c r="C123">
        <v>1142</v>
      </c>
      <c r="D123" t="s">
        <v>8</v>
      </c>
      <c r="E123">
        <v>14.54</v>
      </c>
    </row>
    <row r="124" spans="1:5" x14ac:dyDescent="0.25">
      <c r="A124">
        <v>165</v>
      </c>
      <c r="B124" s="2">
        <v>45907.085427135673</v>
      </c>
      <c r="C124">
        <v>1065</v>
      </c>
      <c r="D124" t="s">
        <v>7</v>
      </c>
      <c r="E124">
        <v>14.66</v>
      </c>
    </row>
    <row r="125" spans="1:5" x14ac:dyDescent="0.25">
      <c r="A125">
        <v>145</v>
      </c>
      <c r="B125" s="2">
        <v>45902.562814070348</v>
      </c>
      <c r="C125">
        <v>1089</v>
      </c>
      <c r="D125" t="s">
        <v>6</v>
      </c>
      <c r="E125">
        <v>14.72</v>
      </c>
    </row>
    <row r="126" spans="1:5" x14ac:dyDescent="0.25">
      <c r="A126">
        <v>153</v>
      </c>
      <c r="B126" s="2">
        <v>45904.37185929648</v>
      </c>
      <c r="C126">
        <v>1131</v>
      </c>
      <c r="D126" t="s">
        <v>8</v>
      </c>
      <c r="E126">
        <v>14.74</v>
      </c>
    </row>
    <row r="127" spans="1:5" x14ac:dyDescent="0.25">
      <c r="A127">
        <v>52</v>
      </c>
      <c r="B127" s="2">
        <v>45881.532663316582</v>
      </c>
      <c r="C127">
        <v>1131</v>
      </c>
      <c r="D127" t="s">
        <v>8</v>
      </c>
      <c r="E127">
        <v>14.92</v>
      </c>
    </row>
    <row r="128" spans="1:5" x14ac:dyDescent="0.25">
      <c r="A128">
        <v>119</v>
      </c>
      <c r="B128" s="2">
        <v>45896.68341708542</v>
      </c>
      <c r="C128">
        <v>1040</v>
      </c>
      <c r="D128" t="s">
        <v>5</v>
      </c>
      <c r="E128">
        <v>14.96</v>
      </c>
    </row>
    <row r="129" spans="1:5" x14ac:dyDescent="0.25">
      <c r="A129">
        <v>197</v>
      </c>
      <c r="B129" s="2">
        <v>45914.321608040198</v>
      </c>
      <c r="C129">
        <v>1171</v>
      </c>
      <c r="D129" t="s">
        <v>6</v>
      </c>
      <c r="E129">
        <v>15.03</v>
      </c>
    </row>
    <row r="130" spans="1:5" x14ac:dyDescent="0.25">
      <c r="A130">
        <v>61</v>
      </c>
      <c r="B130" s="2">
        <v>45883.567839195966</v>
      </c>
      <c r="C130">
        <v>1091</v>
      </c>
      <c r="D130" t="s">
        <v>7</v>
      </c>
      <c r="E130">
        <v>15.18</v>
      </c>
    </row>
    <row r="131" spans="1:5" x14ac:dyDescent="0.25">
      <c r="A131">
        <v>72</v>
      </c>
      <c r="B131" s="2">
        <v>45886.0552763819</v>
      </c>
      <c r="C131">
        <v>1103</v>
      </c>
      <c r="D131" t="s">
        <v>8</v>
      </c>
      <c r="E131">
        <v>15.3</v>
      </c>
    </row>
    <row r="132" spans="1:5" x14ac:dyDescent="0.25">
      <c r="A132">
        <v>10</v>
      </c>
      <c r="B132" s="2">
        <v>45872.035175879377</v>
      </c>
      <c r="C132">
        <v>1121</v>
      </c>
      <c r="D132" t="s">
        <v>8</v>
      </c>
      <c r="E132">
        <v>15.38</v>
      </c>
    </row>
    <row r="133" spans="1:5" x14ac:dyDescent="0.25">
      <c r="A133">
        <v>19</v>
      </c>
      <c r="B133" s="2">
        <v>45874.070351758783</v>
      </c>
      <c r="C133">
        <v>1052</v>
      </c>
      <c r="D133" t="s">
        <v>5</v>
      </c>
      <c r="E133">
        <v>15.68</v>
      </c>
    </row>
    <row r="134" spans="1:5" x14ac:dyDescent="0.25">
      <c r="A134">
        <v>84</v>
      </c>
      <c r="B134" s="2">
        <v>45888.7688442211</v>
      </c>
      <c r="C134">
        <v>1189</v>
      </c>
      <c r="D134" t="s">
        <v>7</v>
      </c>
      <c r="E134">
        <v>15.8</v>
      </c>
    </row>
    <row r="135" spans="1:5" x14ac:dyDescent="0.25">
      <c r="A135">
        <v>193</v>
      </c>
      <c r="B135" s="2">
        <v>45913.417085427129</v>
      </c>
      <c r="C135">
        <v>1136</v>
      </c>
      <c r="D135" t="s">
        <v>7</v>
      </c>
      <c r="E135">
        <v>15.82</v>
      </c>
    </row>
    <row r="136" spans="1:5" x14ac:dyDescent="0.25">
      <c r="A136">
        <v>98</v>
      </c>
      <c r="B136" s="2">
        <v>45891.934673366828</v>
      </c>
      <c r="C136">
        <v>1123</v>
      </c>
      <c r="D136" t="s">
        <v>7</v>
      </c>
      <c r="E136">
        <v>15.93</v>
      </c>
    </row>
    <row r="137" spans="1:5" x14ac:dyDescent="0.25">
      <c r="A137">
        <v>199</v>
      </c>
      <c r="B137" s="2">
        <v>45914.773869346733</v>
      </c>
      <c r="C137">
        <v>1058</v>
      </c>
      <c r="D137" t="s">
        <v>6</v>
      </c>
      <c r="E137">
        <v>16.05</v>
      </c>
    </row>
    <row r="138" spans="1:5" x14ac:dyDescent="0.25">
      <c r="A138">
        <v>42</v>
      </c>
      <c r="B138" s="2">
        <v>45879.271356783909</v>
      </c>
      <c r="C138">
        <v>1107</v>
      </c>
      <c r="D138" t="s">
        <v>6</v>
      </c>
      <c r="E138">
        <v>16.149999999999999</v>
      </c>
    </row>
    <row r="139" spans="1:5" x14ac:dyDescent="0.25">
      <c r="A139">
        <v>21</v>
      </c>
      <c r="B139" s="2">
        <v>45874.522613065317</v>
      </c>
      <c r="C139">
        <v>1087</v>
      </c>
      <c r="D139" t="s">
        <v>5</v>
      </c>
      <c r="E139">
        <v>16.21</v>
      </c>
    </row>
    <row r="140" spans="1:5" x14ac:dyDescent="0.25">
      <c r="A140">
        <v>176</v>
      </c>
      <c r="B140" s="2">
        <v>45909.572864321599</v>
      </c>
      <c r="C140">
        <v>1029</v>
      </c>
      <c r="D140" t="s">
        <v>7</v>
      </c>
      <c r="E140">
        <v>16.45</v>
      </c>
    </row>
    <row r="141" spans="1:5" x14ac:dyDescent="0.25">
      <c r="A141">
        <v>46</v>
      </c>
      <c r="B141" s="2">
        <v>45880.175879396978</v>
      </c>
      <c r="C141">
        <v>1050</v>
      </c>
      <c r="D141" t="s">
        <v>7</v>
      </c>
      <c r="E141">
        <v>16.47</v>
      </c>
    </row>
    <row r="142" spans="1:5" x14ac:dyDescent="0.25">
      <c r="A142">
        <v>37</v>
      </c>
      <c r="B142" s="2">
        <v>45878.14070351758</v>
      </c>
      <c r="C142">
        <v>1189</v>
      </c>
      <c r="D142" t="s">
        <v>7</v>
      </c>
      <c r="E142">
        <v>16.489999999999998</v>
      </c>
    </row>
    <row r="143" spans="1:5" x14ac:dyDescent="0.25">
      <c r="A143">
        <v>14</v>
      </c>
      <c r="B143" s="2">
        <v>45872.939698492453</v>
      </c>
      <c r="C143">
        <v>1099</v>
      </c>
      <c r="D143" t="s">
        <v>6</v>
      </c>
      <c r="E143">
        <v>16.510000000000002</v>
      </c>
    </row>
    <row r="144" spans="1:5" x14ac:dyDescent="0.25">
      <c r="A144">
        <v>188</v>
      </c>
      <c r="B144" s="2">
        <v>45912.286432160799</v>
      </c>
      <c r="C144">
        <v>1002</v>
      </c>
      <c r="D144" t="s">
        <v>8</v>
      </c>
      <c r="E144">
        <v>16.54</v>
      </c>
    </row>
    <row r="145" spans="1:5" x14ac:dyDescent="0.25">
      <c r="A145">
        <v>100</v>
      </c>
      <c r="B145" s="2">
        <v>45892.386934673363</v>
      </c>
      <c r="C145">
        <v>1156</v>
      </c>
      <c r="D145" t="s">
        <v>6</v>
      </c>
      <c r="E145">
        <v>16.55</v>
      </c>
    </row>
    <row r="146" spans="1:5" x14ac:dyDescent="0.25">
      <c r="A146">
        <v>11</v>
      </c>
      <c r="B146" s="2">
        <v>45872.261306532659</v>
      </c>
      <c r="C146">
        <v>1074</v>
      </c>
      <c r="D146" t="s">
        <v>6</v>
      </c>
      <c r="E146">
        <v>16.87</v>
      </c>
    </row>
    <row r="147" spans="1:5" x14ac:dyDescent="0.25">
      <c r="A147">
        <v>194</v>
      </c>
      <c r="B147" s="2">
        <v>45913.643216080403</v>
      </c>
      <c r="C147">
        <v>1061</v>
      </c>
      <c r="D147" t="s">
        <v>6</v>
      </c>
      <c r="E147">
        <v>17.059999999999999</v>
      </c>
    </row>
    <row r="148" spans="1:5" x14ac:dyDescent="0.25">
      <c r="A148">
        <v>110</v>
      </c>
      <c r="B148" s="2">
        <v>45894.648241206029</v>
      </c>
      <c r="C148">
        <v>1062</v>
      </c>
      <c r="D148" t="s">
        <v>8</v>
      </c>
      <c r="E148">
        <v>17.190000000000001</v>
      </c>
    </row>
    <row r="149" spans="1:5" x14ac:dyDescent="0.25">
      <c r="A149">
        <v>2</v>
      </c>
      <c r="B149" s="2">
        <v>45870.226130653267</v>
      </c>
      <c r="C149">
        <v>1179</v>
      </c>
      <c r="D149" t="s">
        <v>5</v>
      </c>
      <c r="E149">
        <v>17.2</v>
      </c>
    </row>
    <row r="150" spans="1:5" x14ac:dyDescent="0.25">
      <c r="A150">
        <v>158</v>
      </c>
      <c r="B150" s="2">
        <v>45905.502512562809</v>
      </c>
      <c r="C150">
        <v>1035</v>
      </c>
      <c r="D150" t="s">
        <v>6</v>
      </c>
      <c r="E150">
        <v>17.21</v>
      </c>
    </row>
    <row r="151" spans="1:5" x14ac:dyDescent="0.25">
      <c r="A151">
        <v>99</v>
      </c>
      <c r="B151" s="2">
        <v>45892.160804020103</v>
      </c>
      <c r="C151">
        <v>1040</v>
      </c>
      <c r="D151" t="s">
        <v>8</v>
      </c>
      <c r="E151">
        <v>17.7</v>
      </c>
    </row>
    <row r="152" spans="1:5" x14ac:dyDescent="0.25">
      <c r="A152">
        <v>138</v>
      </c>
      <c r="B152" s="2">
        <v>45900.979899497477</v>
      </c>
      <c r="C152">
        <v>1000</v>
      </c>
      <c r="D152" t="s">
        <v>5</v>
      </c>
      <c r="E152">
        <v>17.71</v>
      </c>
    </row>
    <row r="153" spans="1:5" x14ac:dyDescent="0.25">
      <c r="A153">
        <v>136</v>
      </c>
      <c r="B153" s="2">
        <v>45900.52763819095</v>
      </c>
      <c r="C153">
        <v>1174</v>
      </c>
      <c r="D153" t="s">
        <v>5</v>
      </c>
      <c r="E153">
        <v>18.04</v>
      </c>
    </row>
    <row r="154" spans="1:5" x14ac:dyDescent="0.25">
      <c r="A154">
        <v>1</v>
      </c>
      <c r="B154" s="2">
        <v>45870</v>
      </c>
      <c r="C154">
        <v>1102</v>
      </c>
      <c r="D154" t="s">
        <v>6</v>
      </c>
      <c r="E154">
        <v>18.25</v>
      </c>
    </row>
    <row r="155" spans="1:5" x14ac:dyDescent="0.25">
      <c r="A155">
        <v>15</v>
      </c>
      <c r="B155" s="2">
        <v>45873.165829145721</v>
      </c>
      <c r="C155">
        <v>1103</v>
      </c>
      <c r="D155" t="s">
        <v>6</v>
      </c>
      <c r="E155">
        <v>18.809999999999999</v>
      </c>
    </row>
    <row r="156" spans="1:5" x14ac:dyDescent="0.25">
      <c r="A156">
        <v>8</v>
      </c>
      <c r="B156" s="2">
        <v>45871.582914572857</v>
      </c>
      <c r="C156">
        <v>1020</v>
      </c>
      <c r="D156" t="s">
        <v>7</v>
      </c>
      <c r="E156">
        <v>18.89</v>
      </c>
    </row>
    <row r="157" spans="1:5" x14ac:dyDescent="0.25">
      <c r="A157">
        <v>139</v>
      </c>
      <c r="B157" s="2">
        <v>45901.206030150752</v>
      </c>
      <c r="C157">
        <v>1004</v>
      </c>
      <c r="D157" t="s">
        <v>6</v>
      </c>
      <c r="E157">
        <v>19.16</v>
      </c>
    </row>
    <row r="158" spans="1:5" x14ac:dyDescent="0.25">
      <c r="A158">
        <v>178</v>
      </c>
      <c r="B158" s="2">
        <v>45910.025125628134</v>
      </c>
      <c r="C158">
        <v>1074</v>
      </c>
      <c r="D158" t="s">
        <v>6</v>
      </c>
      <c r="E158">
        <v>19.420000000000002</v>
      </c>
    </row>
    <row r="159" spans="1:5" x14ac:dyDescent="0.25">
      <c r="A159">
        <v>181</v>
      </c>
      <c r="B159" s="2">
        <v>45910.703517587928</v>
      </c>
      <c r="C159">
        <v>1189</v>
      </c>
      <c r="D159" t="s">
        <v>7</v>
      </c>
      <c r="E159">
        <v>19.670000000000002</v>
      </c>
    </row>
    <row r="160" spans="1:5" x14ac:dyDescent="0.25">
      <c r="A160">
        <v>86</v>
      </c>
      <c r="B160" s="2">
        <v>45889.221105527628</v>
      </c>
      <c r="C160">
        <v>1094</v>
      </c>
      <c r="D160" t="s">
        <v>6</v>
      </c>
      <c r="E160">
        <v>19.7</v>
      </c>
    </row>
    <row r="161" spans="1:5" x14ac:dyDescent="0.25">
      <c r="A161">
        <v>92</v>
      </c>
      <c r="B161" s="2">
        <v>45890.577889447231</v>
      </c>
      <c r="C161">
        <v>1081</v>
      </c>
      <c r="D161" t="s">
        <v>8</v>
      </c>
      <c r="E161">
        <v>19.77</v>
      </c>
    </row>
    <row r="162" spans="1:5" x14ac:dyDescent="0.25">
      <c r="A162">
        <v>101</v>
      </c>
      <c r="B162" s="2">
        <v>45892.61306532663</v>
      </c>
      <c r="C162">
        <v>1014</v>
      </c>
      <c r="D162" t="s">
        <v>5</v>
      </c>
      <c r="E162">
        <v>19.87</v>
      </c>
    </row>
    <row r="163" spans="1:5" x14ac:dyDescent="0.25">
      <c r="A163">
        <v>54</v>
      </c>
      <c r="B163" s="2">
        <v>45881.984924623117</v>
      </c>
      <c r="C163">
        <v>1059</v>
      </c>
      <c r="D163" t="s">
        <v>6</v>
      </c>
      <c r="E163">
        <v>20.079999999999998</v>
      </c>
    </row>
    <row r="164" spans="1:5" x14ac:dyDescent="0.25">
      <c r="A164">
        <v>170</v>
      </c>
      <c r="B164" s="2">
        <v>45908.216080402002</v>
      </c>
      <c r="C164">
        <v>1133</v>
      </c>
      <c r="D164" t="s">
        <v>6</v>
      </c>
      <c r="E164">
        <v>20.5</v>
      </c>
    </row>
    <row r="165" spans="1:5" x14ac:dyDescent="0.25">
      <c r="A165">
        <v>49</v>
      </c>
      <c r="B165" s="2">
        <v>45880.85427135678</v>
      </c>
      <c r="C165">
        <v>1072</v>
      </c>
      <c r="D165" t="s">
        <v>7</v>
      </c>
      <c r="E165">
        <v>22.45</v>
      </c>
    </row>
    <row r="166" spans="1:5" x14ac:dyDescent="0.25">
      <c r="A166">
        <v>22</v>
      </c>
      <c r="B166" s="2">
        <v>45874.748743718577</v>
      </c>
      <c r="C166">
        <v>1157</v>
      </c>
      <c r="D166" t="s">
        <v>6</v>
      </c>
      <c r="E166">
        <v>22.68</v>
      </c>
    </row>
    <row r="167" spans="1:5" x14ac:dyDescent="0.25">
      <c r="A167">
        <v>81</v>
      </c>
      <c r="B167" s="2">
        <v>45888.090452261298</v>
      </c>
      <c r="C167">
        <v>1145</v>
      </c>
      <c r="D167" t="s">
        <v>5</v>
      </c>
      <c r="E167">
        <v>22.68</v>
      </c>
    </row>
    <row r="168" spans="1:5" x14ac:dyDescent="0.25">
      <c r="A168">
        <v>102</v>
      </c>
      <c r="B168" s="2">
        <v>45892.839195979897</v>
      </c>
      <c r="C168">
        <v>1044</v>
      </c>
      <c r="D168" t="s">
        <v>5</v>
      </c>
      <c r="E168">
        <v>23.69</v>
      </c>
    </row>
    <row r="169" spans="1:5" x14ac:dyDescent="0.25">
      <c r="A169">
        <v>20</v>
      </c>
      <c r="B169" s="2">
        <v>45874.296482412057</v>
      </c>
      <c r="C169">
        <v>1001</v>
      </c>
      <c r="D169" t="s">
        <v>5</v>
      </c>
      <c r="E169">
        <v>23.73</v>
      </c>
    </row>
    <row r="170" spans="1:5" x14ac:dyDescent="0.25">
      <c r="A170">
        <v>108</v>
      </c>
      <c r="B170" s="2">
        <v>45894.195979899487</v>
      </c>
      <c r="C170">
        <v>1128</v>
      </c>
      <c r="D170" t="s">
        <v>8</v>
      </c>
      <c r="E170">
        <v>23.82</v>
      </c>
    </row>
    <row r="171" spans="1:5" x14ac:dyDescent="0.25">
      <c r="A171">
        <v>53</v>
      </c>
      <c r="B171" s="2">
        <v>45881.758793969842</v>
      </c>
      <c r="C171">
        <v>1088</v>
      </c>
      <c r="D171" t="s">
        <v>5</v>
      </c>
      <c r="E171">
        <v>23.84</v>
      </c>
    </row>
    <row r="172" spans="1:5" x14ac:dyDescent="0.25">
      <c r="A172">
        <v>175</v>
      </c>
      <c r="B172" s="2">
        <v>45909.346733668332</v>
      </c>
      <c r="C172">
        <v>1083</v>
      </c>
      <c r="D172" t="s">
        <v>5</v>
      </c>
      <c r="E172">
        <v>23.92</v>
      </c>
    </row>
    <row r="173" spans="1:5" x14ac:dyDescent="0.25">
      <c r="A173">
        <v>149</v>
      </c>
      <c r="B173" s="2">
        <v>45903.467336683418</v>
      </c>
      <c r="C173">
        <v>1062</v>
      </c>
      <c r="D173" t="s">
        <v>5</v>
      </c>
      <c r="E173">
        <v>23.98</v>
      </c>
    </row>
    <row r="174" spans="1:5" x14ac:dyDescent="0.25">
      <c r="A174">
        <v>13</v>
      </c>
      <c r="B174" s="2">
        <v>45872.713567839193</v>
      </c>
      <c r="C174">
        <v>1116</v>
      </c>
      <c r="D174" t="s">
        <v>5</v>
      </c>
      <c r="E174">
        <v>24.25</v>
      </c>
    </row>
    <row r="175" spans="1:5" x14ac:dyDescent="0.25">
      <c r="A175">
        <v>76</v>
      </c>
      <c r="B175" s="2">
        <v>45886.959798994969</v>
      </c>
      <c r="C175">
        <v>1053</v>
      </c>
      <c r="D175" t="s">
        <v>5</v>
      </c>
      <c r="E175">
        <v>24.41</v>
      </c>
    </row>
    <row r="176" spans="1:5" x14ac:dyDescent="0.25">
      <c r="A176">
        <v>196</v>
      </c>
      <c r="B176" s="2">
        <v>45914.095477386931</v>
      </c>
      <c r="C176">
        <v>1050</v>
      </c>
      <c r="D176" t="s">
        <v>6</v>
      </c>
      <c r="E176">
        <v>24.74</v>
      </c>
    </row>
    <row r="177" spans="1:5" x14ac:dyDescent="0.25">
      <c r="A177">
        <v>29</v>
      </c>
      <c r="B177" s="2">
        <v>45876.331658291449</v>
      </c>
      <c r="C177">
        <v>1057</v>
      </c>
      <c r="D177" t="s">
        <v>7</v>
      </c>
      <c r="E177">
        <v>25.1</v>
      </c>
    </row>
    <row r="178" spans="1:5" x14ac:dyDescent="0.25">
      <c r="A178">
        <v>87</v>
      </c>
      <c r="B178" s="2">
        <v>45889.447236180902</v>
      </c>
      <c r="C178">
        <v>1047</v>
      </c>
      <c r="D178" t="s">
        <v>5</v>
      </c>
      <c r="E178">
        <v>26.6</v>
      </c>
    </row>
    <row r="179" spans="1:5" x14ac:dyDescent="0.25">
      <c r="A179">
        <v>160</v>
      </c>
      <c r="B179" s="2">
        <v>45905.954773869344</v>
      </c>
      <c r="C179">
        <v>1159</v>
      </c>
      <c r="D179" t="s">
        <v>6</v>
      </c>
      <c r="E179">
        <v>27.07</v>
      </c>
    </row>
    <row r="180" spans="1:5" x14ac:dyDescent="0.25">
      <c r="A180">
        <v>147</v>
      </c>
      <c r="B180" s="2">
        <v>45903.015075376883</v>
      </c>
      <c r="C180">
        <v>1123</v>
      </c>
      <c r="D180" t="s">
        <v>6</v>
      </c>
      <c r="E180">
        <v>27.34</v>
      </c>
    </row>
    <row r="181" spans="1:5" x14ac:dyDescent="0.25">
      <c r="A181">
        <v>173</v>
      </c>
      <c r="B181" s="2">
        <v>45908.894472361797</v>
      </c>
      <c r="C181">
        <v>1107</v>
      </c>
      <c r="D181" t="s">
        <v>6</v>
      </c>
      <c r="E181">
        <v>27.74</v>
      </c>
    </row>
    <row r="182" spans="1:5" x14ac:dyDescent="0.25">
      <c r="A182">
        <v>143</v>
      </c>
      <c r="B182" s="2">
        <v>45902.110552763806</v>
      </c>
      <c r="C182">
        <v>1136</v>
      </c>
      <c r="D182" t="s">
        <v>6</v>
      </c>
      <c r="E182">
        <v>27.79</v>
      </c>
    </row>
    <row r="183" spans="1:5" x14ac:dyDescent="0.25">
      <c r="A183">
        <v>192</v>
      </c>
      <c r="B183" s="2">
        <v>45913.190954773869</v>
      </c>
      <c r="C183">
        <v>1154</v>
      </c>
      <c r="D183" t="s">
        <v>5</v>
      </c>
      <c r="E183">
        <v>28.13</v>
      </c>
    </row>
    <row r="184" spans="1:5" x14ac:dyDescent="0.25">
      <c r="A184">
        <v>118</v>
      </c>
      <c r="B184" s="2">
        <v>45896.457286432153</v>
      </c>
      <c r="C184">
        <v>1004</v>
      </c>
      <c r="D184" t="s">
        <v>6</v>
      </c>
      <c r="E184">
        <v>29.98</v>
      </c>
    </row>
    <row r="185" spans="1:5" x14ac:dyDescent="0.25">
      <c r="A185">
        <v>31</v>
      </c>
      <c r="B185" s="2">
        <v>45876.783919597983</v>
      </c>
      <c r="C185">
        <v>1088</v>
      </c>
      <c r="D185" t="s">
        <v>6</v>
      </c>
      <c r="E185">
        <v>30.5</v>
      </c>
    </row>
    <row r="186" spans="1:5" x14ac:dyDescent="0.25">
      <c r="A186">
        <v>126</v>
      </c>
      <c r="B186" s="2">
        <v>45898.266331658277</v>
      </c>
      <c r="C186">
        <v>1047</v>
      </c>
      <c r="D186" t="s">
        <v>7</v>
      </c>
      <c r="E186">
        <v>31.14</v>
      </c>
    </row>
    <row r="187" spans="1:5" x14ac:dyDescent="0.25">
      <c r="A187">
        <v>97</v>
      </c>
      <c r="B187" s="2">
        <v>45891.708542713568</v>
      </c>
      <c r="C187">
        <v>1187</v>
      </c>
      <c r="D187" t="s">
        <v>5</v>
      </c>
      <c r="E187">
        <v>31.16</v>
      </c>
    </row>
    <row r="188" spans="1:5" x14ac:dyDescent="0.25">
      <c r="A188">
        <v>157</v>
      </c>
      <c r="B188" s="2">
        <v>45905.276381909527</v>
      </c>
      <c r="C188">
        <v>1028</v>
      </c>
      <c r="D188" t="s">
        <v>6</v>
      </c>
      <c r="E188">
        <v>31.27</v>
      </c>
    </row>
    <row r="189" spans="1:5" x14ac:dyDescent="0.25">
      <c r="A189">
        <v>45</v>
      </c>
      <c r="B189" s="2">
        <v>45879.949748743718</v>
      </c>
      <c r="C189">
        <v>1130</v>
      </c>
      <c r="D189" t="s">
        <v>7</v>
      </c>
      <c r="E189">
        <v>31.54</v>
      </c>
    </row>
    <row r="190" spans="1:5" x14ac:dyDescent="0.25">
      <c r="A190">
        <v>43</v>
      </c>
      <c r="B190" s="2">
        <v>45879.497487437176</v>
      </c>
      <c r="C190">
        <v>1054</v>
      </c>
      <c r="D190" t="s">
        <v>5</v>
      </c>
      <c r="E190">
        <v>32.85</v>
      </c>
    </row>
    <row r="191" spans="1:5" x14ac:dyDescent="0.25">
      <c r="A191">
        <v>16</v>
      </c>
      <c r="B191" s="2">
        <v>45873.391959799003</v>
      </c>
      <c r="C191">
        <v>1151</v>
      </c>
      <c r="D191" t="s">
        <v>5</v>
      </c>
      <c r="E191">
        <v>35.53</v>
      </c>
    </row>
    <row r="192" spans="1:5" x14ac:dyDescent="0.25">
      <c r="A192">
        <v>71</v>
      </c>
      <c r="B192" s="2">
        <v>45885.829145728632</v>
      </c>
      <c r="C192">
        <v>1049</v>
      </c>
      <c r="D192" t="s">
        <v>6</v>
      </c>
      <c r="E192">
        <v>35.630000000000003</v>
      </c>
    </row>
    <row r="193" spans="1:5" x14ac:dyDescent="0.25">
      <c r="A193">
        <v>189</v>
      </c>
      <c r="B193" s="2">
        <v>45912.512562814059</v>
      </c>
      <c r="C193">
        <v>1102</v>
      </c>
      <c r="D193" t="s">
        <v>5</v>
      </c>
      <c r="E193">
        <v>37.65</v>
      </c>
    </row>
    <row r="194" spans="1:5" x14ac:dyDescent="0.25">
      <c r="A194">
        <v>154</v>
      </c>
      <c r="B194" s="2">
        <v>45904.597989949747</v>
      </c>
      <c r="C194">
        <v>1150</v>
      </c>
      <c r="D194" t="s">
        <v>7</v>
      </c>
      <c r="E194">
        <v>37.78</v>
      </c>
    </row>
    <row r="195" spans="1:5" x14ac:dyDescent="0.25">
      <c r="A195">
        <v>9</v>
      </c>
      <c r="B195" s="2">
        <v>45871.809045226117</v>
      </c>
      <c r="C195">
        <v>1102</v>
      </c>
      <c r="D195" t="s">
        <v>6</v>
      </c>
      <c r="E195">
        <v>38.28</v>
      </c>
    </row>
    <row r="196" spans="1:5" x14ac:dyDescent="0.25">
      <c r="A196">
        <v>35</v>
      </c>
      <c r="B196" s="2">
        <v>45877.688442211052</v>
      </c>
      <c r="C196">
        <v>1187</v>
      </c>
      <c r="D196" t="s">
        <v>6</v>
      </c>
      <c r="E196">
        <v>38.69</v>
      </c>
    </row>
    <row r="197" spans="1:5" x14ac:dyDescent="0.25">
      <c r="A197">
        <v>186</v>
      </c>
      <c r="B197" s="2">
        <v>45911.834170854272</v>
      </c>
      <c r="C197">
        <v>1120</v>
      </c>
      <c r="D197" t="s">
        <v>6</v>
      </c>
      <c r="E197">
        <v>38.93</v>
      </c>
    </row>
    <row r="198" spans="1:5" x14ac:dyDescent="0.25">
      <c r="A198">
        <v>64</v>
      </c>
      <c r="B198" s="2">
        <v>45884.246231155783</v>
      </c>
      <c r="C198">
        <v>1198</v>
      </c>
      <c r="D198" t="s">
        <v>5</v>
      </c>
      <c r="E198">
        <v>40.44</v>
      </c>
    </row>
    <row r="199" spans="1:5" x14ac:dyDescent="0.25">
      <c r="A199">
        <v>182</v>
      </c>
      <c r="B199" s="2">
        <v>45910.929648241203</v>
      </c>
      <c r="C199">
        <v>1128</v>
      </c>
      <c r="D199" t="s">
        <v>6</v>
      </c>
      <c r="E199">
        <v>41.12</v>
      </c>
    </row>
    <row r="200" spans="1:5" x14ac:dyDescent="0.25">
      <c r="A200">
        <v>203</v>
      </c>
      <c r="B200" s="2">
        <v>45910.804872685185</v>
      </c>
      <c r="C200">
        <v>1201</v>
      </c>
      <c r="D200" t="s">
        <v>6</v>
      </c>
      <c r="E200">
        <v>48.87</v>
      </c>
    </row>
    <row r="201" spans="1:5" x14ac:dyDescent="0.25">
      <c r="A201">
        <v>172</v>
      </c>
      <c r="B201" s="2">
        <v>45908.668341708537</v>
      </c>
      <c r="C201">
        <v>1027</v>
      </c>
      <c r="D201" t="s">
        <v>7</v>
      </c>
      <c r="E201">
        <v>55.06</v>
      </c>
    </row>
    <row r="202" spans="1:5" x14ac:dyDescent="0.25">
      <c r="A202">
        <v>202</v>
      </c>
      <c r="B202" s="2">
        <v>45882.889447236179</v>
      </c>
      <c r="C202">
        <v>1052</v>
      </c>
      <c r="D202" t="s">
        <v>8</v>
      </c>
      <c r="E202">
        <v>60.89</v>
      </c>
    </row>
    <row r="203" spans="1:5" x14ac:dyDescent="0.25">
      <c r="A203">
        <v>201</v>
      </c>
      <c r="B203" s="2">
        <v>45910.722361111111</v>
      </c>
      <c r="C203">
        <v>1200</v>
      </c>
      <c r="D203" t="s">
        <v>5</v>
      </c>
      <c r="E203">
        <v>69.260000000000005</v>
      </c>
    </row>
    <row r="204" spans="1:5" x14ac:dyDescent="0.25">
      <c r="A204">
        <v>204</v>
      </c>
      <c r="B204" s="2">
        <v>45882.889447236179</v>
      </c>
      <c r="C204">
        <v>1052</v>
      </c>
      <c r="D204" t="s">
        <v>8</v>
      </c>
      <c r="E204">
        <v>74.02</v>
      </c>
    </row>
    <row r="205" spans="1:5" x14ac:dyDescent="0.25">
      <c r="A205">
        <v>58</v>
      </c>
      <c r="B205" s="2">
        <v>45882.889447236179</v>
      </c>
      <c r="C205">
        <v>1052</v>
      </c>
      <c r="D205" t="s">
        <v>8</v>
      </c>
      <c r="E205">
        <v>84.55</v>
      </c>
    </row>
  </sheetData>
  <sortState xmlns:xlrd2="http://schemas.microsoft.com/office/spreadsheetml/2017/richdata2" ref="A2:E201">
    <sortCondition ref="E2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Toshio Yamaschita</dc:creator>
  <cp:keywords/>
  <dc:description/>
  <cp:lastModifiedBy>NICOLE FUGITA</cp:lastModifiedBy>
  <cp:revision/>
  <dcterms:created xsi:type="dcterms:W3CDTF">2025-09-16T23:27:01Z</dcterms:created>
  <dcterms:modified xsi:type="dcterms:W3CDTF">2025-11-10T18:55:23Z</dcterms:modified>
  <cp:category/>
  <cp:contentStatus/>
</cp:coreProperties>
</file>